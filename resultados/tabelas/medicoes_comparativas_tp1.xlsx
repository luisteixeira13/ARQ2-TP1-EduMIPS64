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9daffcfb3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es" sheetId="1" r:id="R93181c7f45354dae"/>
    <x:sheet xmlns:r="http://schemas.openxmlformats.org/officeDocument/2006/relationships" name="Todos os programas" sheetId="2" r:id="Rf153e8010e2e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&quot;×&quot;"/>
    <x:numFmt numFmtId="202" formatCode="0.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1E4D70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1" xfId="0" applyNumberFormat="1" applyFont="1" applyFill="1" applyBorder="1"/>
    <x:xf numFmtId="200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1d03c9f454859" /><Relationship Type="http://schemas.openxmlformats.org/officeDocument/2006/relationships/theme" Target="/xl/theme/theme1.xml" Id="R2ec268ba9f354f0a" /><Relationship Type="http://schemas.openxmlformats.org/officeDocument/2006/relationships/sharedStrings" Target="/xl/sharedStrings.xml" Id="Rfa450f5371b64138" /><Relationship Type="http://schemas.openxmlformats.org/officeDocument/2006/relationships/worksheet" Target="/xl/worksheets/sheet1.xml" Id="R93181c7f45354dae" /><Relationship Type="http://schemas.openxmlformats.org/officeDocument/2006/relationships/worksheet" Target="/xl/worksheets/sheet2.xml" Id="Rf153e8010e2e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5" hidden="0" customWidth="1"/>
    <x:col min="7" max="7" width="20" hidden="0" customWidth="1"/>
    <x:col min="8" max="8" width="12" hidden="0" customWidth="1"/>
    <x:col min="9" max="9" width="21" hidden="0" customWidth="1"/>
  </x:cols>
  <x:sheetData>
    <x:row r="1" ht="32" customHeight="1">
      <x:c r="A1" s="3" t="str">
        <x:v>TP1 EduMIPS64 — Programa 3 | Original × Otimizada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Testes: Branch Delay Slot OFF</x:v>
      </x:c>
      <x:c r="B2" t="str"/>
      <x:c r="C2" t="str"/>
      <x:c r="D2" t="str"/>
      <x:c r="E2" t="str"/>
      <x:c r="F2" t="str"/>
      <x:c r="G2" t="str"/>
      <x:c r="H2" t="str"/>
      <x:c r="I2" t="str"/>
    </x:row>
    <x:row r="3" ht="24" customHeight="1">
      <x:c r="A3" s="7" t="str">
        <x:v>Versão</x:v>
      </x:c>
      <x:c r="B3" s="7" t="str">
        <x:v>Forwarding</x:v>
      </x:c>
      <x:c r="C3" s="7" t="str">
        <x:v>IC</x:v>
      </x:c>
      <x:c r="D3" s="7" t="str">
        <x:v>CC</x:v>
      </x:c>
      <x:c r="E3" s="7" t="str">
        <x:v>RAW stalls</x:v>
      </x:c>
      <x:c r="F3" s="7" t="str">
        <x:v>WAW stalls</x:v>
      </x:c>
      <x:c r="G3" s="7" t="str">
        <x:v>Structural stalls</x:v>
      </x:c>
      <x:c r="H3" s="7" t="str">
        <x:v>CPI</x:v>
      </x:c>
      <x:c r="I3" s="7" t="str">
        <x:v>Controle inferido</x:v>
      </x:c>
    </x:row>
    <x:row r="4" ht="23" customHeight="1">
      <x:c r="A4" s="10" t="str">
        <x:v>Original</x:v>
      </x:c>
      <x:c r="B4" s="10" t="str">
        <x:v>OFF</x:v>
      </x:c>
      <x:c r="C4" s="10" t="n">
        <x:v>217</x:v>
      </x:c>
      <x:c r="D4" s="10" t="n">
        <x:v>540</x:v>
      </x:c>
      <x:c r="E4" s="10" t="n">
        <x:v>308</x:v>
      </x:c>
      <x:c r="F4" s="10" t="n">
        <x:v>0</x:v>
      </x:c>
      <x:c r="G4" s="10" t="n">
        <x:v>0</x:v>
      </x:c>
      <x:c r="H4" s="13" t="n">
        <x:f>D4/C4</x:f>
        <x:v>2.488479262672811</x:v>
      </x:c>
      <x:c r="I4" s="10" t="n">
        <x:f>D4-(C4+4)-E4</x:f>
        <x:v>11</x:v>
      </x:c>
    </x:row>
    <x:row r="5" ht="23" customHeight="1">
      <x:c r="A5" s="10" t="str">
        <x:v>Original</x:v>
      </x:c>
      <x:c r="B5" s="10" t="str">
        <x:v>ON</x:v>
      </x:c>
      <x:c r="C5" s="10" t="n">
        <x:v>217</x:v>
      </x:c>
      <x:c r="D5" s="10" t="n">
        <x:v>262</x:v>
      </x:c>
      <x:c r="E5" s="10" t="n">
        <x:v>30</x:v>
      </x:c>
      <x:c r="F5" s="10" t="n">
        <x:v>0</x:v>
      </x:c>
      <x:c r="G5" s="10" t="n">
        <x:v>0</x:v>
      </x:c>
      <x:c r="H5" s="13" t="n">
        <x:f>D5/C5</x:f>
        <x:v>1.207373271889401</x:v>
      </x:c>
      <x:c r="I5" s="10" t="n">
        <x:f>D5-(C5+4)-E5</x:f>
        <x:v>11</x:v>
      </x:c>
    </x:row>
    <x:row r="6" ht="23" customHeight="1">
      <x:c r="A6" s="10" t="str">
        <x:v>Otimizada</x:v>
      </x:c>
      <x:c r="B6" s="10" t="str">
        <x:v>OFF</x:v>
      </x:c>
      <x:c r="C6" s="10" t="n">
        <x:v>151</x:v>
      </x:c>
      <x:c r="D6" s="10" t="n">
        <x:v>214</x:v>
      </x:c>
      <x:c r="E6" s="10" t="n">
        <x:v>48</x:v>
      </x:c>
      <x:c r="F6" s="10" t="n">
        <x:v>0</x:v>
      </x:c>
      <x:c r="G6" s="10" t="n">
        <x:v>0</x:v>
      </x:c>
      <x:c r="H6" s="13" t="n">
        <x:f>D6/C6</x:f>
        <x:v>1.4172185430463575</x:v>
      </x:c>
      <x:c r="I6" s="10" t="n">
        <x:f>D6-(C6+4)-E6</x:f>
        <x:v>11</x:v>
      </x:c>
    </x:row>
    <x:row r="7" ht="23" customHeight="1">
      <x:c r="A7" s="11" t="str">
        <x:v>Otimizada</x:v>
      </x:c>
      <x:c r="B7" s="11" t="str">
        <x:v>ON</x:v>
      </x:c>
      <x:c r="C7" s="11" t="n">
        <x:v>151</x:v>
      </x:c>
      <x:c r="D7" s="11" t="n">
        <x:v>172</x:v>
      </x:c>
      <x:c r="E7" s="11" t="n">
        <x:v>6</x:v>
      </x:c>
      <x:c r="F7" s="11" t="n">
        <x:v>0</x:v>
      </x:c>
      <x:c r="G7" s="11" t="n">
        <x:v>0</x:v>
      </x:c>
      <x:c r="H7" s="14" t="n">
        <x:f>D7/C7</x:f>
        <x:v>1.1390728476821192</x:v>
      </x:c>
      <x:c r="I7" s="11" t="n">
        <x:f>D7-(C7+4)-E7</x:f>
        <x:v>11</x:v>
      </x:c>
    </x:row>
    <x:row r="10" ht="24" customHeight="1">
      <x:c r="A10" s="7" t="str">
        <x:v>Configuração</x:v>
      </x:c>
      <x:c r="B10" s="7" t="str">
        <x:v>Speedup</x:v>
      </x:c>
      <x:c r="C10" s="7" t="str">
        <x:v>Redução de CC</x:v>
      </x:c>
      <x:c r="D10" s="7" t="str">
        <x:v>Redução de RAW</x:v>
      </x:c>
      <x:c r="E10" s="7" t="str">
        <x:v>Redução de IC</x:v>
      </x:c>
    </x:row>
    <x:row r="11">
      <x:c r="A11" t="str">
        <x:v>Forwarding OFF</x:v>
      </x:c>
      <x:c r="B11" s="17" t="n">
        <x:f>D4/D6</x:f>
        <x:v>2.5233644859813085</x:v>
      </x:c>
      <x:c r="C11" s="19" t="n">
        <x:f>(D4-D6)/D4</x:f>
        <x:v>0.6037037037037037</x:v>
      </x:c>
      <x:c r="D11" s="19" t="n">
        <x:f>(E4-E6)/E4</x:f>
        <x:v>0.8441558441558441</x:v>
      </x:c>
      <x:c r="E11" s="19" t="n">
        <x:f>(C4-C6)/C4</x:f>
        <x:v>0.30414746543778803</x:v>
      </x:c>
    </x:row>
    <x:row r="12">
      <x:c r="A12" t="str">
        <x:v>Forwarding ON</x:v>
      </x:c>
      <x:c r="B12" s="17" t="n">
        <x:f>D5/D7</x:f>
        <x:v>1.5232558139534884</x:v>
      </x:c>
      <x:c r="C12" s="19" t="n">
        <x:f>(D5-D7)/D5</x:f>
        <x:v>0.3435114503816794</x:v>
      </x:c>
      <x:c r="D12" s="19" t="n">
        <x:f>(E5-E7)/E5</x:f>
        <x:v>0.8</x:v>
      </x:c>
      <x:c r="E12" s="19" t="n">
        <x:f>(C5-C7)/C5</x:f>
        <x:v>0.30414746543778803</x:v>
      </x:c>
    </x:row>
    <x:row r="15">
      <x:c r="A15" t="str">
        <x:v>Fonte: Capturas Stats do EduMIPS64 Web; Branch stalls não foram exibidos em contador independente.</x:v>
      </x:c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>
        <x:v>Controle inferido é resíduo CC-(IC+4)-RAW, não branch stalls medidos.</x:v>
      </x:c>
      <x:c r="B16" t="str"/>
      <x:c r="C16" t="str"/>
      <x:c r="D16" t="str"/>
      <x:c r="E16" t="str"/>
      <x:c r="F16" t="str"/>
      <x:c r="G16" t="str"/>
      <x:c r="H16" t="str"/>
      <x:c r="I16" t="str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58" hidden="0" customWidth="1"/>
  </x:cols>
  <x:sheetData>
    <x:row r="1" ht="26" customHeight="1">
      <x:c r="A1" s="7" t="str">
        <x:v>Programa</x:v>
      </x:c>
      <x:c r="B1" s="7" t="str">
        <x:v>Versão</x:v>
      </x:c>
      <x:c r="C1" s="7" t="str">
        <x:v>Forwarding</x:v>
      </x:c>
      <x:c r="D1" s="7" t="str">
        <x:v>IC</x:v>
      </x:c>
      <x:c r="E1" s="7" t="str">
        <x:v>CC</x:v>
      </x:c>
      <x:c r="F1" s="7" t="str">
        <x:v>RAW stalls</x:v>
      </x:c>
      <x:c r="G1" s="7" t="str">
        <x:v>CPI</x:v>
      </x:c>
      <x:c r="H1" s="7" t="str">
        <x:v>Print Stats</x:v>
      </x:c>
    </x:row>
    <x:row r="2">
      <x:c r="A2" t="str">
        <x:v>Soma vetores</x:v>
      </x:c>
      <x:c r="B2" t="str">
        <x:v>Original</x:v>
      </x:c>
      <x:c r="C2" t="str">
        <x:v>OFF</x:v>
      </x:c>
      <x:c r="D2" t="n">
        <x:v>52</x:v>
      </x:c>
      <x:c r="E2" t="n">
        <x:v>94</x:v>
      </x:c>
      <x:c r="F2" t="n">
        <x:v>34</x:v>
      </x:c>
      <x:c r="G2" s="13" t="n">
        <x:v>1.8076923076923077</x:v>
      </x:c>
      <x:c r="H2" t="str">
        <x:v>resultados/imagens/programa1_original_OFF_stats.png</x:v>
      </x:c>
    </x:row>
    <x:row r="3">
      <x:c r="A3" t="str">
        <x:v>Soma vetores</x:v>
      </x:c>
      <x:c r="B3" t="str">
        <x:v>Original</x:v>
      </x:c>
      <x:c r="C3" t="str">
        <x:v>ON</x:v>
      </x:c>
      <x:c r="D3" t="n">
        <x:v>52</x:v>
      </x:c>
      <x:c r="E3" t="n">
        <x:v>72</x:v>
      </x:c>
      <x:c r="F3" t="n">
        <x:v>12</x:v>
      </x:c>
      <x:c r="G3" s="13" t="n">
        <x:v>1.3846153846153846</x:v>
      </x:c>
      <x:c r="H3" t="str">
        <x:v>resultados/imagens/programa1_original_ON_stats.png</x:v>
      </x:c>
    </x:row>
    <x:row r="4">
      <x:c r="A4" t="str">
        <x:v>Contagem</x:v>
      </x:c>
      <x:c r="B4" t="str">
        <x:v>Original</x:v>
      </x:c>
      <x:c r="C4" t="str">
        <x:v>OFF</x:v>
      </x:c>
      <x:c r="D4" t="n">
        <x:v>43</x:v>
      </x:c>
      <x:c r="E4" t="n">
        <x:v>85</x:v>
      </x:c>
      <x:c r="F4" t="n">
        <x:v>30</x:v>
      </x:c>
      <x:c r="G4" s="13" t="n">
        <x:v>1.9767441860465116</x:v>
      </x:c>
      <x:c r="H4" t="str">
        <x:v>resultados/imagens/programa2_original_OFF_stats.png</x:v>
      </x:c>
    </x:row>
    <x:row r="5">
      <x:c r="A5" t="str">
        <x:v>Contagem</x:v>
      </x:c>
      <x:c r="B5" t="str">
        <x:v>Original</x:v>
      </x:c>
      <x:c r="C5" t="str">
        <x:v>ON</x:v>
      </x:c>
      <x:c r="D5" t="n">
        <x:v>43</x:v>
      </x:c>
      <x:c r="E5" t="n">
        <x:v>73</x:v>
      </x:c>
      <x:c r="F5" t="n">
        <x:v>18</x:v>
      </x:c>
      <x:c r="G5" s="13" t="n">
        <x:v>1.697674418604651</x:v>
      </x:c>
      <x:c r="H5" t="str">
        <x:v>resultados/imagens/programa2_original_ON_stats.png</x:v>
      </x:c>
    </x:row>
    <x:row r="6">
      <x:c r="A6" t="str">
        <x:v>Matrizes</x:v>
      </x:c>
      <x:c r="B6" t="str">
        <x:v>Original</x:v>
      </x:c>
      <x:c r="C6" t="str">
        <x:v>OFF</x:v>
      </x:c>
      <x:c r="D6" t="n">
        <x:v>217</x:v>
      </x:c>
      <x:c r="E6" t="n">
        <x:v>540</x:v>
      </x:c>
      <x:c r="F6" t="n">
        <x:v>308</x:v>
      </x:c>
      <x:c r="G6" s="13" t="n">
        <x:v>2.488479262672811</x:v>
      </x:c>
      <x:c r="H6" t="str">
        <x:v>resultados/imagens/programa3_original_OFF_stats.png</x:v>
      </x:c>
    </x:row>
    <x:row r="7">
      <x:c r="A7" t="str">
        <x:v>Matrizes</x:v>
      </x:c>
      <x:c r="B7" t="str">
        <x:v>Original</x:v>
      </x:c>
      <x:c r="C7" t="str">
        <x:v>ON</x:v>
      </x:c>
      <x:c r="D7" t="n">
        <x:v>217</x:v>
      </x:c>
      <x:c r="E7" t="n">
        <x:v>262</x:v>
      </x:c>
      <x:c r="F7" t="n">
        <x:v>30</x:v>
      </x:c>
      <x:c r="G7" s="13" t="n">
        <x:v>1.207373271889401</x:v>
      </x:c>
      <x:c r="H7" t="str">
        <x:v>resultados/imagens/programa3_original_ON_stats.png</x:v>
      </x:c>
    </x:row>
    <x:row r="8">
      <x:c r="A8" t="str">
        <x:v>Matrizes</x:v>
      </x:c>
      <x:c r="B8" t="str">
        <x:v>Otimizada</x:v>
      </x:c>
      <x:c r="C8" t="str">
        <x:v>OFF</x:v>
      </x:c>
      <x:c r="D8" t="n">
        <x:v>151</x:v>
      </x:c>
      <x:c r="E8" t="n">
        <x:v>214</x:v>
      </x:c>
      <x:c r="F8" t="n">
        <x:v>48</x:v>
      </x:c>
      <x:c r="G8" s="13" t="n">
        <x:v>1.4172185430463575</x:v>
      </x:c>
      <x:c r="H8" t="str">
        <x:v>resultados/imagens/programa3_otimizado_OFF_stats.png</x:v>
      </x:c>
    </x:row>
    <x:row r="9">
      <x:c r="A9" t="str">
        <x:v>Matrizes</x:v>
      </x:c>
      <x:c r="B9" t="str">
        <x:v>Otimizada</x:v>
      </x:c>
      <x:c r="C9" t="str">
        <x:v>ON</x:v>
      </x:c>
      <x:c r="D9" t="n">
        <x:v>151</x:v>
      </x:c>
      <x:c r="E9" t="n">
        <x:v>172</x:v>
      </x:c>
      <x:c r="F9" t="n">
        <x:v>6</x:v>
      </x:c>
      <x:c r="G9" s="13" t="n">
        <x:v>1.1390728476821192</x:v>
      </x:c>
      <x:c r="H9" t="str">
        <x:v>resultados/imagens/programa3_otimizado_ON_stats.png</x:v>
      </x:c>
    </x:row>
  </x:sheetData>
  <x:pageMargins left="0.7" right="0.7" top="0.75" bottom="0.75" header="0.3" footer="0.3"/>
</x:worksheet>
</file>